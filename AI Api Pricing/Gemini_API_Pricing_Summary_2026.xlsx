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fmp\fmp-client\AI Api Pricing\"/>
    </mc:Choice>
  </mc:AlternateContent>
  <bookViews>
    <workbookView xWindow="0" yWindow="0" windowWidth="28800" windowHeight="12480"/>
  </bookViews>
  <sheets>
    <sheet name="Overview &amp; Summary" sheetId="1" r:id="rId1"/>
    <sheet name="API Pricing Reference" sheetId="2" r:id="rId2"/>
  </sheets>
  <calcPr calcId="162913"/>
</workbook>
</file>

<file path=xl/calcChain.xml><?xml version="1.0" encoding="utf-8"?>
<calcChain xmlns="http://schemas.openxmlformats.org/spreadsheetml/2006/main">
  <c r="J17" i="1" l="1"/>
  <c r="K17" i="1" s="1"/>
  <c r="C43" i="1"/>
  <c r="H16" i="1" s="1"/>
  <c r="I16" i="1" s="1"/>
  <c r="H15" i="1"/>
  <c r="I15" i="1" s="1"/>
  <c r="H14" i="1"/>
  <c r="I14" i="1" s="1"/>
  <c r="J14" i="1" s="1"/>
  <c r="K14" i="1" s="1"/>
  <c r="D43" i="1"/>
  <c r="H17" i="1" s="1"/>
  <c r="I17" i="1" s="1"/>
  <c r="B43" i="1"/>
  <c r="A43" i="1"/>
  <c r="C30" i="1"/>
  <c r="B30" i="1"/>
  <c r="F15" i="1" s="1"/>
  <c r="G15" i="1" s="1"/>
  <c r="A30" i="1"/>
  <c r="F14" i="1" s="1"/>
  <c r="G14" i="1" s="1"/>
  <c r="D30" i="1"/>
  <c r="F17" i="1" s="1"/>
  <c r="G17" i="1" s="1"/>
  <c r="J15" i="1" l="1"/>
  <c r="K15" i="1" s="1"/>
  <c r="F16" i="1"/>
  <c r="G16" i="1" s="1"/>
  <c r="J16" i="1" s="1"/>
  <c r="K16" i="1" s="1"/>
</calcChain>
</file>

<file path=xl/sharedStrings.xml><?xml version="1.0" encoding="utf-8"?>
<sst xmlns="http://schemas.openxmlformats.org/spreadsheetml/2006/main" count="120" uniqueCount="78">
  <si>
    <t>Google Gemini Developer API Pricing Summary</t>
  </si>
  <si>
    <t>Comprehensive summary of model pricing structures, tiers, and features (June 2026 Update)</t>
  </si>
  <si>
    <t>Key Highlights &amp; Billing Features</t>
  </si>
  <si>
    <t>Free vs Paid Tiers:</t>
  </si>
  <si>
    <t>Free Tier is perfect for prototyping but uses data for product improvements. Upgrading to the Paid Tier (Pay-As-You-Go) guarantees data privacy and exponentially increases Rate Limits (RPM/RPD).</t>
  </si>
  <si>
    <t>Pro Model Threshold:</t>
  </si>
  <si>
    <t>Gemini 3.1 Pro has dual-tiered pricing: prompts containing &lt;= 200K tokens use the base rate, while prompts &gt; 200K tokens carry a long-context premium (~2x input, 1.5x output).</t>
  </si>
  <si>
    <t>Context Caching Benefit:</t>
  </si>
  <si>
    <t>Google offers up to 90% discount on cached tokens for input processing. However, a small storage charge applies per million tokens per hour (e.g., $1.00 - $4.50/hr).</t>
  </si>
  <si>
    <t>Thinking Tokens:</t>
  </si>
  <si>
    <t>Internal model reasoning ('thinking tokens') are billed at the full standard output rate for the respective model tier.</t>
  </si>
  <si>
    <t>Grounding Add-ons:</t>
  </si>
  <si>
    <t>Search and Maps Grounding features include 5,000 free prompts per month across Gemini 3, after which they scale at $14.00 per 1,000 queries.</t>
  </si>
  <si>
    <t>Core Model Pricing Benchmarks (Per 1M Tokens)</t>
  </si>
  <si>
    <t>Model Name</t>
  </si>
  <si>
    <t>Input Price (text)</t>
  </si>
  <si>
    <t>Output Price</t>
  </si>
  <si>
    <t>Context Window</t>
  </si>
  <si>
    <t>Best For</t>
  </si>
  <si>
    <t>Gemini 3.5 Flash</t>
  </si>
  <si>
    <t>1M Tokens</t>
  </si>
  <si>
    <t>Frontier performance, high speed &amp; coding</t>
  </si>
  <si>
    <t>Gemini 3.1 Pro (&lt;=200K)</t>
  </si>
  <si>
    <t>2M Tokens</t>
  </si>
  <si>
    <t>Flagship reasoning, agentic tasks</t>
  </si>
  <si>
    <t>Gemini 3 Flash</t>
  </si>
  <si>
    <t>Mid-tier multimodal workhorse</t>
  </si>
  <si>
    <t>Gemini 3.1 Flash-Lite</t>
  </si>
  <si>
    <t>Cheapest current-gen model, high-volume</t>
  </si>
  <si>
    <t>Official Gemini API Comprehensive Price List</t>
  </si>
  <si>
    <t>Rates are listed in USD per 1 Million Tokens (unless specified otherwise)</t>
  </si>
  <si>
    <t>Model Family</t>
  </si>
  <si>
    <t>Model Tier / Condition</t>
  </si>
  <si>
    <t>Free Tier</t>
  </si>
  <si>
    <t>Paid Input ($/1M)</t>
  </si>
  <si>
    <t>Paid Output ($/1M)</t>
  </si>
  <si>
    <t>Cached Input ($/1M)</t>
  </si>
  <si>
    <t>Cache Storage ($/1M tok/hr)</t>
  </si>
  <si>
    <t>Grounding / Extras</t>
  </si>
  <si>
    <t>Standard Text/Multimodal</t>
  </si>
  <si>
    <t>Free of Charge</t>
  </si>
  <si>
    <t>Grounding: 5k free, then $14/1k queries</t>
  </si>
  <si>
    <t>Gemini 3.1 Pro</t>
  </si>
  <si>
    <t>Prompts &lt;= 200k tokens</t>
  </si>
  <si>
    <t>Not Available</t>
  </si>
  <si>
    <t>Prompts &gt; 200k tokens</t>
  </si>
  <si>
    <t>Premium tier context rate applies</t>
  </si>
  <si>
    <t>Standard Text/Image/Video</t>
  </si>
  <si>
    <t>Audio Input Tier</t>
  </si>
  <si>
    <t>Effective ~$0.0368 per minute</t>
  </si>
  <si>
    <t>Cheapest Tier-1 mainstream model</t>
  </si>
  <si>
    <t>Optimized for high-volume audio</t>
  </si>
  <si>
    <t>Gemini 3 Pro Image</t>
  </si>
  <si>
    <t>Text &amp; Image Input</t>
  </si>
  <si>
    <t>Free Tier Available</t>
  </si>
  <si>
    <t>N/A</t>
  </si>
  <si>
    <t>Image Output: $120.00 / 1M images</t>
  </si>
  <si>
    <t>Gemini 3.1 Flash Image</t>
  </si>
  <si>
    <t>Text &amp; Visual Input</t>
  </si>
  <si>
    <t>Image Output: $60.00 / 1M images</t>
  </si>
  <si>
    <t>Veo 3.1</t>
  </si>
  <si>
    <t>Video Generation</t>
  </si>
  <si>
    <t>Billed at $0.40 per second of video</t>
  </si>
  <si>
    <t>Gemini 2.5 Pro (Legacy)</t>
  </si>
  <si>
    <t>Moving to legacy status</t>
  </si>
  <si>
    <t>Prior generation flagship pricing</t>
  </si>
  <si>
    <t>Gemini 2.5 Flash (Legacy)</t>
  </si>
  <si>
    <t>Standard Text</t>
  </si>
  <si>
    <t>Paid-tier only as of April 1, 2026</t>
  </si>
  <si>
    <t>Gemini 2.5 Flash-Lite</t>
  </si>
  <si>
    <t>Budget Legacy Tier</t>
  </si>
  <si>
    <t>Prior generation absolute lowest cost</t>
  </si>
  <si>
    <t>Cost/20 Min Video</t>
  </si>
  <si>
    <t>Input Token/Sec Estimated</t>
  </si>
  <si>
    <t>Input Token/20 Min Video</t>
  </si>
  <si>
    <t>Input Tokens Usage by model/Sec</t>
  </si>
  <si>
    <t>Output Tokens Usage by model/Sec</t>
  </si>
  <si>
    <t>IN 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</si>
</sst>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\$#,##0.00"/>
    <numFmt numFmtId="166" formatCode="_(* #,##0_);_(* \(#,##0\);_(* &quot;-&quot;??_);_(@_)"/>
    <numFmt numFmtId="170" formatCode="_(* #,##0.00000_);_(* \(#,##0.00000\);_(* &quot;-&quot;??_);_(@_)"/>
  </numFmts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b/>
      <sz val="13"/>
      <color rgb="FF1B365D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5"/>
        <bgColor rgb="FFE8EEF5"/>
      </patternFill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5" fillId="0" borderId="1" xfId="0" applyFont="1" applyBorder="1"/>
    <xf numFmtId="165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166" fontId="0" fillId="0" borderId="0" xfId="1" applyNumberFormat="1" applyFont="1"/>
    <xf numFmtId="166" fontId="6" fillId="3" borderId="0" xfId="1" applyNumberFormat="1" applyFont="1" applyFill="1" applyAlignment="1">
      <alignment horizontal="center" vertical="center" wrapText="1"/>
    </xf>
    <xf numFmtId="166" fontId="0" fillId="0" borderId="0" xfId="0" applyNumberFormat="1"/>
    <xf numFmtId="164" fontId="0" fillId="0" borderId="0" xfId="0" applyNumberFormat="1"/>
    <xf numFmtId="0" fontId="3" fillId="0" borderId="0" xfId="0" applyFont="1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13" zoomScale="115" zoomScaleNormal="115" workbookViewId="0">
      <selection activeCell="F7" sqref="B7:F7"/>
    </sheetView>
  </sheetViews>
  <sheetFormatPr defaultRowHeight="15" x14ac:dyDescent="0.25"/>
  <cols>
    <col min="1" max="1" width="23" customWidth="1"/>
    <col min="2" max="2" width="25.42578125" customWidth="1"/>
    <col min="3" max="4" width="21.28515625" customWidth="1"/>
    <col min="5" max="5" width="44" customWidth="1"/>
    <col min="6" max="6" width="12.140625" style="14" customWidth="1"/>
    <col min="7" max="7" width="12.140625" customWidth="1"/>
    <col min="8" max="8" width="11.42578125" customWidth="1"/>
    <col min="9" max="9" width="12.28515625" customWidth="1"/>
    <col min="10" max="10" width="10.42578125" customWidth="1"/>
  </cols>
  <sheetData>
    <row r="1" spans="1:11" ht="21" x14ac:dyDescent="0.35">
      <c r="A1" s="1" t="s">
        <v>0</v>
      </c>
    </row>
    <row r="2" spans="1:11" x14ac:dyDescent="0.25">
      <c r="A2" s="2" t="s">
        <v>1</v>
      </c>
    </row>
    <row r="4" spans="1:11" ht="17.25" x14ac:dyDescent="0.3">
      <c r="A4" s="3" t="s">
        <v>2</v>
      </c>
    </row>
    <row r="5" spans="1:11" x14ac:dyDescent="0.25">
      <c r="A5" s="4" t="s">
        <v>3</v>
      </c>
      <c r="B5" s="5" t="s">
        <v>4</v>
      </c>
    </row>
    <row r="6" spans="1:11" x14ac:dyDescent="0.25">
      <c r="A6" s="4" t="s">
        <v>5</v>
      </c>
      <c r="B6" s="5" t="s">
        <v>6</v>
      </c>
    </row>
    <row r="7" spans="1:11" x14ac:dyDescent="0.25">
      <c r="A7" s="4" t="s">
        <v>7</v>
      </c>
      <c r="B7" s="5" t="s">
        <v>8</v>
      </c>
    </row>
    <row r="8" spans="1:11" x14ac:dyDescent="0.25">
      <c r="A8" s="4" t="s">
        <v>9</v>
      </c>
      <c r="B8" s="5" t="s">
        <v>10</v>
      </c>
    </row>
    <row r="9" spans="1:11" x14ac:dyDescent="0.25">
      <c r="A9" s="4" t="s">
        <v>11</v>
      </c>
      <c r="B9" s="5" t="s">
        <v>12</v>
      </c>
    </row>
    <row r="12" spans="1:11" ht="17.25" x14ac:dyDescent="0.3">
      <c r="A12" s="18" t="s">
        <v>13</v>
      </c>
      <c r="B12" s="18"/>
      <c r="C12" s="18"/>
      <c r="D12" s="18"/>
      <c r="E12" s="18"/>
      <c r="F12" s="18"/>
      <c r="G12" s="18"/>
    </row>
    <row r="13" spans="1:11" s="13" customFormat="1" ht="45" x14ac:dyDescent="0.25">
      <c r="A13" s="9" t="s">
        <v>14</v>
      </c>
      <c r="B13" s="9" t="s">
        <v>15</v>
      </c>
      <c r="C13" s="9" t="s">
        <v>16</v>
      </c>
      <c r="D13" s="9" t="s">
        <v>17</v>
      </c>
      <c r="E13" s="9" t="s">
        <v>18</v>
      </c>
      <c r="F13" s="15" t="s">
        <v>73</v>
      </c>
      <c r="G13" s="9" t="s">
        <v>74</v>
      </c>
      <c r="H13" s="15" t="s">
        <v>73</v>
      </c>
      <c r="I13" s="9" t="s">
        <v>74</v>
      </c>
      <c r="J13" s="9" t="s">
        <v>72</v>
      </c>
      <c r="K13" s="9" t="s">
        <v>77</v>
      </c>
    </row>
    <row r="14" spans="1:11" x14ac:dyDescent="0.25">
      <c r="A14" s="6" t="s">
        <v>19</v>
      </c>
      <c r="B14" s="7">
        <v>1.5</v>
      </c>
      <c r="C14" s="7">
        <v>9</v>
      </c>
      <c r="D14" s="8" t="s">
        <v>20</v>
      </c>
      <c r="E14" s="6" t="s">
        <v>21</v>
      </c>
      <c r="F14" s="14">
        <f>A30</f>
        <v>100</v>
      </c>
      <c r="G14" s="16">
        <f>F14*60*20</f>
        <v>120000</v>
      </c>
      <c r="H14" s="14">
        <f>A43</f>
        <v>40</v>
      </c>
      <c r="I14" s="16">
        <f>H14*60*20</f>
        <v>48000</v>
      </c>
      <c r="J14" s="17">
        <f>(G14/1000000*B14)+(I14/1000000*C14)</f>
        <v>0.61199999999999999</v>
      </c>
      <c r="K14" s="17">
        <f>J14*280</f>
        <v>171.35999999999999</v>
      </c>
    </row>
    <row r="15" spans="1:11" x14ac:dyDescent="0.25">
      <c r="A15" s="6" t="s">
        <v>22</v>
      </c>
      <c r="B15" s="7">
        <v>2</v>
      </c>
      <c r="C15" s="7">
        <v>12</v>
      </c>
      <c r="D15" s="8" t="s">
        <v>23</v>
      </c>
      <c r="E15" s="6" t="s">
        <v>24</v>
      </c>
      <c r="F15" s="14">
        <f>B30</f>
        <v>100</v>
      </c>
      <c r="G15" s="16">
        <f t="shared" ref="G15:G17" si="0">F15*60*20</f>
        <v>120000</v>
      </c>
      <c r="H15" s="14">
        <f>B43</f>
        <v>40</v>
      </c>
      <c r="I15" s="16">
        <f t="shared" ref="I15:I17" si="1">H15*60*20</f>
        <v>48000</v>
      </c>
      <c r="J15" s="17">
        <f t="shared" ref="J15:J17" si="2">(G15/1000000*B15)+(I15/1000000*C15)</f>
        <v>0.81600000000000006</v>
      </c>
      <c r="K15" s="17">
        <f t="shared" ref="K15:K17" si="3">J15*280</f>
        <v>228.48000000000002</v>
      </c>
    </row>
    <row r="16" spans="1:11" x14ac:dyDescent="0.25">
      <c r="A16" s="6" t="s">
        <v>25</v>
      </c>
      <c r="B16" s="7">
        <v>0.5</v>
      </c>
      <c r="C16" s="7">
        <v>3</v>
      </c>
      <c r="D16" s="8" t="s">
        <v>20</v>
      </c>
      <c r="E16" s="6" t="s">
        <v>26</v>
      </c>
      <c r="F16" s="14">
        <f>C30</f>
        <v>100</v>
      </c>
      <c r="G16" s="16">
        <f t="shared" si="0"/>
        <v>120000</v>
      </c>
      <c r="H16" s="14">
        <f>C43</f>
        <v>40</v>
      </c>
      <c r="I16" s="16">
        <f t="shared" si="1"/>
        <v>48000</v>
      </c>
      <c r="J16" s="17">
        <f t="shared" si="2"/>
        <v>0.20400000000000001</v>
      </c>
      <c r="K16" s="17">
        <f t="shared" si="3"/>
        <v>57.120000000000005</v>
      </c>
    </row>
    <row r="17" spans="1:11" x14ac:dyDescent="0.25">
      <c r="A17" s="6" t="s">
        <v>27</v>
      </c>
      <c r="B17" s="7">
        <v>0.25</v>
      </c>
      <c r="C17" s="7">
        <v>1.5</v>
      </c>
      <c r="D17" s="8" t="s">
        <v>20</v>
      </c>
      <c r="E17" s="6" t="s">
        <v>28</v>
      </c>
      <c r="F17" s="14">
        <f>D30</f>
        <v>100</v>
      </c>
      <c r="G17" s="16">
        <f t="shared" si="0"/>
        <v>120000</v>
      </c>
      <c r="H17" s="14">
        <f>D43</f>
        <v>40</v>
      </c>
      <c r="I17" s="16">
        <f t="shared" si="1"/>
        <v>48000</v>
      </c>
      <c r="J17" s="17">
        <f t="shared" si="2"/>
        <v>0.10200000000000001</v>
      </c>
      <c r="K17" s="17">
        <f t="shared" si="3"/>
        <v>28.560000000000002</v>
      </c>
    </row>
    <row r="20" spans="1:11" ht="17.25" x14ac:dyDescent="0.3">
      <c r="A20" s="18" t="s">
        <v>75</v>
      </c>
      <c r="B20" s="18"/>
      <c r="C20" s="18"/>
      <c r="D20" s="18"/>
    </row>
    <row r="21" spans="1:11" x14ac:dyDescent="0.25">
      <c r="A21" s="9" t="s">
        <v>19</v>
      </c>
      <c r="B21" s="9" t="s">
        <v>22</v>
      </c>
      <c r="C21" s="9" t="s">
        <v>25</v>
      </c>
      <c r="D21" s="9" t="s">
        <v>27</v>
      </c>
    </row>
    <row r="22" spans="1:11" x14ac:dyDescent="0.25">
      <c r="A22" s="14">
        <v>100</v>
      </c>
      <c r="B22" s="14">
        <v>100</v>
      </c>
      <c r="C22" s="14">
        <v>100</v>
      </c>
      <c r="D22" s="14">
        <v>100</v>
      </c>
    </row>
    <row r="23" spans="1:11" x14ac:dyDescent="0.25">
      <c r="A23" s="14"/>
      <c r="B23" s="14"/>
      <c r="C23" s="14"/>
      <c r="D23" s="14"/>
    </row>
    <row r="24" spans="1:11" x14ac:dyDescent="0.25">
      <c r="A24" s="14"/>
      <c r="B24" s="14"/>
      <c r="C24" s="14"/>
      <c r="D24" s="14"/>
    </row>
    <row r="25" spans="1:11" x14ac:dyDescent="0.25">
      <c r="A25" s="14"/>
      <c r="B25" s="14"/>
      <c r="C25" s="14"/>
      <c r="D25" s="14"/>
    </row>
    <row r="26" spans="1:11" x14ac:dyDescent="0.25">
      <c r="A26" s="14"/>
      <c r="B26" s="14"/>
      <c r="C26" s="14"/>
      <c r="D26" s="14"/>
    </row>
    <row r="27" spans="1:11" x14ac:dyDescent="0.25">
      <c r="A27" s="14"/>
      <c r="B27" s="14"/>
      <c r="C27" s="14"/>
      <c r="D27" s="14"/>
    </row>
    <row r="28" spans="1:11" x14ac:dyDescent="0.25">
      <c r="A28" s="14"/>
      <c r="B28" s="14"/>
      <c r="C28" s="14"/>
      <c r="D28" s="14"/>
    </row>
    <row r="29" spans="1:11" x14ac:dyDescent="0.25">
      <c r="A29" s="14"/>
      <c r="B29" s="14"/>
      <c r="C29" s="14"/>
      <c r="D29" s="14"/>
    </row>
    <row r="30" spans="1:11" x14ac:dyDescent="0.25">
      <c r="A30" s="14">
        <f t="shared" ref="A30:C30" si="4">AVERAGE(A22:A29)</f>
        <v>100</v>
      </c>
      <c r="B30" s="14">
        <f t="shared" si="4"/>
        <v>100</v>
      </c>
      <c r="C30" s="14">
        <f t="shared" si="4"/>
        <v>100</v>
      </c>
      <c r="D30" s="14">
        <f>AVERAGE(D22:D29)</f>
        <v>100</v>
      </c>
    </row>
    <row r="33" spans="1:4" ht="17.25" x14ac:dyDescent="0.3">
      <c r="A33" s="18" t="s">
        <v>76</v>
      </c>
      <c r="B33" s="18"/>
      <c r="C33" s="18"/>
      <c r="D33" s="18"/>
    </row>
    <row r="34" spans="1:4" x14ac:dyDescent="0.25">
      <c r="A34" s="9" t="s">
        <v>19</v>
      </c>
      <c r="B34" s="9" t="s">
        <v>22</v>
      </c>
      <c r="C34" s="9" t="s">
        <v>25</v>
      </c>
      <c r="D34" s="9" t="s">
        <v>27</v>
      </c>
    </row>
    <row r="35" spans="1:4" x14ac:dyDescent="0.25">
      <c r="A35" s="14">
        <v>40</v>
      </c>
      <c r="B35" s="14">
        <v>40</v>
      </c>
      <c r="C35" s="14">
        <v>40</v>
      </c>
      <c r="D35" s="14">
        <v>40</v>
      </c>
    </row>
    <row r="36" spans="1:4" x14ac:dyDescent="0.25">
      <c r="A36" s="14"/>
      <c r="B36" s="14"/>
      <c r="C36" s="14"/>
      <c r="D36" s="14"/>
    </row>
    <row r="37" spans="1:4" x14ac:dyDescent="0.25">
      <c r="A37" s="14"/>
      <c r="B37" s="14"/>
      <c r="C37" s="14"/>
      <c r="D37" s="14"/>
    </row>
    <row r="38" spans="1:4" x14ac:dyDescent="0.25">
      <c r="A38" s="14"/>
      <c r="B38" s="14"/>
      <c r="C38" s="14"/>
      <c r="D38" s="14"/>
    </row>
    <row r="39" spans="1:4" x14ac:dyDescent="0.25">
      <c r="A39" s="14"/>
      <c r="B39" s="14"/>
      <c r="C39" s="14"/>
      <c r="D39" s="14"/>
    </row>
    <row r="40" spans="1:4" x14ac:dyDescent="0.25">
      <c r="A40" s="14"/>
      <c r="B40" s="14"/>
      <c r="C40" s="14"/>
      <c r="D40" s="14"/>
    </row>
    <row r="41" spans="1:4" x14ac:dyDescent="0.25">
      <c r="A41" s="14"/>
      <c r="B41" s="14"/>
      <c r="C41" s="14"/>
      <c r="D41" s="14"/>
    </row>
    <row r="42" spans="1:4" x14ac:dyDescent="0.25">
      <c r="A42" s="14"/>
      <c r="B42" s="14"/>
      <c r="C42" s="14"/>
      <c r="D42" s="14"/>
    </row>
    <row r="43" spans="1:4" x14ac:dyDescent="0.25">
      <c r="A43" s="14">
        <f t="shared" ref="A43" si="5">AVERAGE(A35:A42)</f>
        <v>40</v>
      </c>
      <c r="B43" s="14">
        <f t="shared" ref="B43" si="6">AVERAGE(B35:B42)</f>
        <v>40</v>
      </c>
      <c r="C43" s="14">
        <f t="shared" ref="C43" si="7">AVERAGE(C35:C42)</f>
        <v>40</v>
      </c>
      <c r="D43" s="14">
        <f>AVERAGE(D35:D42)</f>
        <v>40</v>
      </c>
    </row>
  </sheetData>
  <mergeCells count="3">
    <mergeCell ref="A12:G12"/>
    <mergeCell ref="A20:D20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E29" sqref="E29"/>
    </sheetView>
  </sheetViews>
  <sheetFormatPr defaultRowHeight="15" x14ac:dyDescent="0.25"/>
  <cols>
    <col min="1" max="1" width="65" customWidth="1"/>
    <col min="2" max="2" width="28" customWidth="1"/>
    <col min="3" max="3" width="22" customWidth="1"/>
    <col min="4" max="4" width="20" customWidth="1"/>
    <col min="5" max="5" width="21" customWidth="1"/>
    <col min="6" max="6" width="22" customWidth="1"/>
    <col min="7" max="7" width="30" customWidth="1"/>
    <col min="8" max="8" width="42" customWidth="1"/>
  </cols>
  <sheetData>
    <row r="1" spans="1:8" ht="21" x14ac:dyDescent="0.35">
      <c r="A1" s="1" t="s">
        <v>29</v>
      </c>
    </row>
    <row r="2" spans="1:8" x14ac:dyDescent="0.25">
      <c r="A2" s="2" t="s">
        <v>30</v>
      </c>
    </row>
    <row r="4" spans="1:8" x14ac:dyDescent="0.25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</row>
    <row r="5" spans="1:8" x14ac:dyDescent="0.25">
      <c r="A5" s="6" t="s">
        <v>19</v>
      </c>
      <c r="B5" s="6" t="s">
        <v>39</v>
      </c>
      <c r="C5" s="8" t="s">
        <v>40</v>
      </c>
      <c r="D5" s="7">
        <v>1.5</v>
      </c>
      <c r="E5" s="7">
        <v>9</v>
      </c>
      <c r="F5" s="7">
        <v>0.15</v>
      </c>
      <c r="G5" s="7">
        <v>1</v>
      </c>
      <c r="H5" s="6" t="s">
        <v>41</v>
      </c>
    </row>
    <row r="6" spans="1:8" x14ac:dyDescent="0.25">
      <c r="A6" s="10" t="s">
        <v>42</v>
      </c>
      <c r="B6" s="10" t="s">
        <v>43</v>
      </c>
      <c r="C6" s="11" t="s">
        <v>44</v>
      </c>
      <c r="D6" s="12">
        <v>2</v>
      </c>
      <c r="E6" s="12">
        <v>12</v>
      </c>
      <c r="F6" s="12">
        <v>0.2</v>
      </c>
      <c r="G6" s="12">
        <v>4.5</v>
      </c>
      <c r="H6" s="10" t="s">
        <v>41</v>
      </c>
    </row>
    <row r="7" spans="1:8" x14ac:dyDescent="0.25">
      <c r="A7" s="6" t="s">
        <v>42</v>
      </c>
      <c r="B7" s="6" t="s">
        <v>45</v>
      </c>
      <c r="C7" s="8" t="s">
        <v>44</v>
      </c>
      <c r="D7" s="7">
        <v>4</v>
      </c>
      <c r="E7" s="7">
        <v>18</v>
      </c>
      <c r="F7" s="7">
        <v>0.4</v>
      </c>
      <c r="G7" s="7">
        <v>4.5</v>
      </c>
      <c r="H7" s="6" t="s">
        <v>46</v>
      </c>
    </row>
    <row r="8" spans="1:8" x14ac:dyDescent="0.25">
      <c r="A8" s="10" t="s">
        <v>25</v>
      </c>
      <c r="B8" s="10" t="s">
        <v>47</v>
      </c>
      <c r="C8" s="11" t="s">
        <v>40</v>
      </c>
      <c r="D8" s="12">
        <v>0.5</v>
      </c>
      <c r="E8" s="12">
        <v>3</v>
      </c>
      <c r="F8" s="12">
        <v>0.05</v>
      </c>
      <c r="G8" s="12">
        <v>1</v>
      </c>
      <c r="H8" s="10" t="s">
        <v>41</v>
      </c>
    </row>
    <row r="9" spans="1:8" x14ac:dyDescent="0.25">
      <c r="A9" s="6" t="s">
        <v>25</v>
      </c>
      <c r="B9" s="6" t="s">
        <v>48</v>
      </c>
      <c r="C9" s="8" t="s">
        <v>40</v>
      </c>
      <c r="D9" s="7">
        <v>1</v>
      </c>
      <c r="E9" s="7">
        <v>3</v>
      </c>
      <c r="F9" s="7">
        <v>0.1</v>
      </c>
      <c r="G9" s="7">
        <v>1</v>
      </c>
      <c r="H9" s="6" t="s">
        <v>49</v>
      </c>
    </row>
    <row r="10" spans="1:8" x14ac:dyDescent="0.25">
      <c r="A10" s="10" t="s">
        <v>27</v>
      </c>
      <c r="B10" s="10" t="s">
        <v>47</v>
      </c>
      <c r="C10" s="11" t="s">
        <v>40</v>
      </c>
      <c r="D10" s="12">
        <v>0.25</v>
      </c>
      <c r="E10" s="12">
        <v>1.5</v>
      </c>
      <c r="F10" s="12">
        <v>2.5000000000000001E-2</v>
      </c>
      <c r="G10" s="12">
        <v>1</v>
      </c>
      <c r="H10" s="10" t="s">
        <v>50</v>
      </c>
    </row>
    <row r="11" spans="1:8" x14ac:dyDescent="0.25">
      <c r="A11" s="6" t="s">
        <v>27</v>
      </c>
      <c r="B11" s="6" t="s">
        <v>48</v>
      </c>
      <c r="C11" s="8" t="s">
        <v>40</v>
      </c>
      <c r="D11" s="7">
        <v>0.5</v>
      </c>
      <c r="E11" s="7">
        <v>1.5</v>
      </c>
      <c r="F11" s="7">
        <v>0.05</v>
      </c>
      <c r="G11" s="7">
        <v>1</v>
      </c>
      <c r="H11" s="6" t="s">
        <v>51</v>
      </c>
    </row>
    <row r="12" spans="1:8" x14ac:dyDescent="0.25">
      <c r="A12" s="10" t="s">
        <v>52</v>
      </c>
      <c r="B12" s="10" t="s">
        <v>53</v>
      </c>
      <c r="C12" s="11" t="s">
        <v>54</v>
      </c>
      <c r="D12" s="12">
        <v>2</v>
      </c>
      <c r="E12" s="12">
        <v>12</v>
      </c>
      <c r="F12" s="11" t="s">
        <v>55</v>
      </c>
      <c r="G12" s="11" t="s">
        <v>55</v>
      </c>
      <c r="H12" s="10" t="s">
        <v>56</v>
      </c>
    </row>
    <row r="13" spans="1:8" x14ac:dyDescent="0.25">
      <c r="A13" s="6" t="s">
        <v>57</v>
      </c>
      <c r="B13" s="6" t="s">
        <v>58</v>
      </c>
      <c r="C13" s="8" t="s">
        <v>54</v>
      </c>
      <c r="D13" s="7">
        <v>0.5</v>
      </c>
      <c r="E13" s="7">
        <v>3</v>
      </c>
      <c r="F13" s="8" t="s">
        <v>55</v>
      </c>
      <c r="G13" s="8" t="s">
        <v>55</v>
      </c>
      <c r="H13" s="6" t="s">
        <v>59</v>
      </c>
    </row>
    <row r="14" spans="1:8" x14ac:dyDescent="0.25">
      <c r="A14" s="10" t="s">
        <v>60</v>
      </c>
      <c r="B14" s="10" t="s">
        <v>61</v>
      </c>
      <c r="C14" s="11" t="s">
        <v>44</v>
      </c>
      <c r="D14" s="11" t="s">
        <v>55</v>
      </c>
      <c r="E14" s="12">
        <v>0.4</v>
      </c>
      <c r="F14" s="11" t="s">
        <v>55</v>
      </c>
      <c r="G14" s="11" t="s">
        <v>55</v>
      </c>
      <c r="H14" s="10" t="s">
        <v>62</v>
      </c>
    </row>
    <row r="15" spans="1:8" x14ac:dyDescent="0.25">
      <c r="A15" s="6" t="s">
        <v>63</v>
      </c>
      <c r="B15" s="6" t="s">
        <v>43</v>
      </c>
      <c r="C15" s="8" t="s">
        <v>44</v>
      </c>
      <c r="D15" s="7">
        <v>1.25</v>
      </c>
      <c r="E15" s="7">
        <v>10</v>
      </c>
      <c r="F15" s="7">
        <v>0.125</v>
      </c>
      <c r="G15" s="7">
        <v>0.5</v>
      </c>
      <c r="H15" s="6" t="s">
        <v>64</v>
      </c>
    </row>
    <row r="16" spans="1:8" x14ac:dyDescent="0.25">
      <c r="A16" s="10" t="s">
        <v>63</v>
      </c>
      <c r="B16" s="10" t="s">
        <v>45</v>
      </c>
      <c r="C16" s="11" t="s">
        <v>44</v>
      </c>
      <c r="D16" s="12">
        <v>2.5</v>
      </c>
      <c r="E16" s="12">
        <v>15</v>
      </c>
      <c r="F16" s="12">
        <v>0.25</v>
      </c>
      <c r="G16" s="12">
        <v>0.5</v>
      </c>
      <c r="H16" s="10" t="s">
        <v>65</v>
      </c>
    </row>
    <row r="17" spans="1:8" x14ac:dyDescent="0.25">
      <c r="A17" s="6" t="s">
        <v>66</v>
      </c>
      <c r="B17" s="6" t="s">
        <v>67</v>
      </c>
      <c r="C17" s="8" t="s">
        <v>44</v>
      </c>
      <c r="D17" s="7">
        <v>0.3</v>
      </c>
      <c r="E17" s="7">
        <v>2.5</v>
      </c>
      <c r="F17" s="7">
        <v>0.03</v>
      </c>
      <c r="G17" s="7">
        <v>0.5</v>
      </c>
      <c r="H17" s="6" t="s">
        <v>68</v>
      </c>
    </row>
    <row r="18" spans="1:8" x14ac:dyDescent="0.25">
      <c r="A18" s="10" t="s">
        <v>69</v>
      </c>
      <c r="B18" s="10" t="s">
        <v>70</v>
      </c>
      <c r="C18" s="11" t="s">
        <v>44</v>
      </c>
      <c r="D18" s="12">
        <v>0.1</v>
      </c>
      <c r="E18" s="12">
        <v>0.4</v>
      </c>
      <c r="F18" s="12">
        <v>0.01</v>
      </c>
      <c r="G18" s="12">
        <v>0.5</v>
      </c>
      <c r="H18" s="10" t="s">
        <v>71</v>
      </c>
    </row>
    <row r="29" spans="1:8" x14ac:dyDescent="0.25">
      <c r="E29" s="19">
        <v>6.0002400096003798E-5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&amp; Summary</vt:lpstr>
      <vt:lpstr>API Pricing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2026-06-26T13:21:06Z</dcterms:created>
  <dcterms:modified xsi:type="dcterms:W3CDTF">2026-06-27T07:07:39Z</dcterms:modified>
</cp:coreProperties>
</file>